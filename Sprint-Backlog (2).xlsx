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1" sheetId="1" state="visible" r:id="rId3"/>
  </sheets>
  <definedNames>
    <definedName function="false" hidden="false" localSheetId="0" name="_xlnm.Print_Area" vbProcedure="false">'Sprint 1'!$B$7:$T$15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<sst xmlns="http://schemas.openxmlformats.org/spreadsheetml/2006/main" count="88" uniqueCount="68">
  <si>
    <t xml:space="preserve">FoodBridge - SPRINT 1 BACKLOG</t>
  </si>
  <si>
    <t xml:space="preserve">CURRENT DATE</t>
  </si>
  <si>
    <t xml:space="preserve">SPRINT START DATE</t>
  </si>
  <si>
    <t xml:space="preserve">TOTAL ASSIGNED HOURS</t>
  </si>
  <si>
    <t xml:space="preserve">HOURS USED</t>
  </si>
  <si>
    <t xml:space="preserve">HOURS REMAINING</t>
  </si>
  <si>
    <t xml:space="preserve">10/06/26</t>
  </si>
  <si>
    <t xml:space="preserve">10/07/26</t>
  </si>
  <si>
    <t xml:space="preserve">SPRINT GOAL</t>
  </si>
  <si>
    <t xml:space="preserve">Donors and charities can open their accounts, and a donor can post a surplus food donation that appears to charities in the available donations list.</t>
  </si>
  <si>
    <t xml:space="preserve">SPRINT TRACKING</t>
  </si>
  <si>
    <t xml:space="preserve">Start of the Sprint Date</t>
  </si>
  <si>
    <t xml:space="preserve">User Stories and Tasks</t>
  </si>
  <si>
    <t xml:space="preserve">ASSIGNED TO</t>
  </si>
  <si>
    <t xml:space="preserve">ASSIGNED HOURS</t>
  </si>
  <si>
    <t xml:space="preserve">AVAILABLE HOURS REMAINING</t>
  </si>
  <si>
    <t xml:space="preserve">DAY 1</t>
  </si>
  <si>
    <t xml:space="preserve">DAY 2</t>
  </si>
  <si>
    <t xml:space="preserve">DAY 3</t>
  </si>
  <si>
    <t xml:space="preserve">DAY 4</t>
  </si>
  <si>
    <t xml:space="preserve">DAY 5</t>
  </si>
  <si>
    <t xml:space="preserve">DAY 6</t>
  </si>
  <si>
    <t xml:space="preserve">DAY 7</t>
  </si>
  <si>
    <t xml:space="preserve">DAY 8</t>
  </si>
  <si>
    <t xml:space="preserve">DAY 9</t>
  </si>
  <si>
    <t xml:space="preserve">DAY 10</t>
  </si>
  <si>
    <t xml:space="preserve">DAY 11</t>
  </si>
  <si>
    <t xml:space="preserve">DAY 12</t>
  </si>
  <si>
    <t xml:space="preserve">DAY 13</t>
  </si>
  <si>
    <t xml:space="preserve">DAY 14</t>
  </si>
  <si>
    <t xml:space="preserve">US01 Donor registration</t>
  </si>
  <si>
    <t xml:space="preserve">T1.1  Create the Flask project, the folders and the SQLite database file</t>
  </si>
  <si>
    <t xml:space="preserve">Maryam Alqahtani</t>
  </si>
  <si>
    <t xml:space="preserve">T1.2  Create the users table (name, email, password, phone, role)</t>
  </si>
  <si>
    <t xml:space="preserve">T1.3  Build the donor registration page</t>
  </si>
  <si>
    <t xml:space="preserve">Albatool Hafez</t>
  </si>
  <si>
    <t xml:space="preserve">T1.4  Save the donor record and hash the password</t>
  </si>
  <si>
    <t xml:space="preserve">T1.5  Test registration with empty fields and a repeated email</t>
  </si>
  <si>
    <t xml:space="preserve">Renad Alabdani</t>
  </si>
  <si>
    <t xml:space="preserve">US05 Charity registration</t>
  </si>
  <si>
    <t xml:space="preserve">T2.1  Create the charities table (organization name, license number, city, address)</t>
  </si>
  <si>
    <t xml:space="preserve">T2.2  Build the charity registration page</t>
  </si>
  <si>
    <t xml:space="preserve">Ghala Alsowayan</t>
  </si>
  <si>
    <t xml:space="preserve">T2.3  Save the charity record as Active for Sprint 1 (admin approval is added later with US13)</t>
  </si>
  <si>
    <t xml:space="preserve">T2.4  Test charity registration</t>
  </si>
  <si>
    <t xml:space="preserve">US02 User login</t>
  </si>
  <si>
    <t xml:space="preserve">T3.1  Build the login page</t>
  </si>
  <si>
    <t xml:space="preserve">T3.2  Check the email and password and open a session</t>
  </si>
  <si>
    <t xml:space="preserve">T3.3  Redirect each role to its own home page after login</t>
  </si>
  <si>
    <t xml:space="preserve">T3.4  Test login (wrong password, charity vs donor)</t>
  </si>
  <si>
    <t xml:space="preserve">US03 Add food donation</t>
  </si>
  <si>
    <t xml:space="preserve">T4.1  Create the donations table (food type, quantity, expiry time, pickup address, status)</t>
  </si>
  <si>
    <t xml:space="preserve">T4.2  Build the add donation form</t>
  </si>
  <si>
    <t xml:space="preserve">T4.3  Save the donation with status Available and link it to the donor</t>
  </si>
  <si>
    <t xml:space="preserve">T4.4  Validate the form (quantity above zero, expiry time in the future)</t>
  </si>
  <si>
    <t xml:space="preserve">T4.5  Test adding a donation</t>
  </si>
  <si>
    <t xml:space="preserve">US06 Browse available donations</t>
  </si>
  <si>
    <t xml:space="preserve">T5.1  Build the available donations list page for charities</t>
  </si>
  <si>
    <t xml:space="preserve">T5.2  Query only the donations with status Available and not expired</t>
  </si>
  <si>
    <t xml:space="preserve">T5.3  Show a message when the list is empty</t>
  </si>
  <si>
    <t xml:space="preserve">T5.4  Test the list with expired and collected donations</t>
  </si>
  <si>
    <t xml:space="preserve">TOTAL</t>
  </si>
  <si>
    <t xml:space="preserve">DEFINITION OF DONE</t>
  </si>
  <si>
    <t xml:space="preserve">1. The task is merged into the main branch of the team repository.</t>
  </si>
  <si>
    <t xml:space="preserve">2. The page runs locally with Flask without any error message.</t>
  </si>
  <si>
    <t xml:space="preserve">3. Another member tried the feature and it did what the user story says.</t>
  </si>
  <si>
    <t xml:space="preserve">4. Wrong input is handled with a clear message instead of a crash.</t>
  </si>
  <si>
    <t xml:space="preserve">5. The database changes are written in the schema file so every member gets the same tables.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</si>
</sst>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;@"/>
    <numFmt numFmtId="166" formatCode="0"/>
    <numFmt numFmtId="167" formatCode="General"/>
  </numFmts>
  <fonts count="22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theme="1"/>
      <name val="Century Gothic"/>
      <family val="1"/>
      <charset val="1"/>
    </font>
    <font>
      <sz val="22"/>
      <color theme="1"/>
      <name val="Century Gothic"/>
      <family val="1"/>
      <charset val="1"/>
    </font>
    <font>
      <b val="true"/>
      <sz val="22"/>
      <color theme="1" tint="0.3499"/>
      <name val="Century Gothic"/>
      <family val="1"/>
      <charset val="1"/>
    </font>
    <font>
      <b val="true"/>
      <sz val="14"/>
      <color theme="1" tint="0.3499"/>
      <name val="Century Gothic"/>
      <family val="2"/>
      <charset val="1"/>
    </font>
    <font>
      <b val="true"/>
      <sz val="14"/>
      <color theme="9" tint="-0.25"/>
      <name val="Century Gothic"/>
      <family val="2"/>
      <charset val="1"/>
    </font>
    <font>
      <sz val="22"/>
      <color theme="1"/>
      <name val="Calibri"/>
      <family val="2"/>
      <charset val="1"/>
    </font>
    <font>
      <sz val="12"/>
      <color theme="0" tint="-0.5"/>
      <name val="Century Gothic"/>
      <family val="2"/>
      <charset val="1"/>
    </font>
    <font>
      <b val="true"/>
      <sz val="18"/>
      <color theme="9" tint="-0.25"/>
      <name val="Century Gothic"/>
      <family val="2"/>
      <charset val="1"/>
    </font>
    <font>
      <b val="true"/>
      <sz val="22"/>
      <color theme="0" tint="-0.5"/>
      <name val="Century Gothic"/>
      <family val="1"/>
      <charset val="1"/>
    </font>
    <font>
      <sz val="14"/>
      <color theme="1" tint="0.3499"/>
      <name val="Century Gothic"/>
      <family val="2"/>
      <charset val="1"/>
    </font>
    <font>
      <i val="true"/>
      <sz val="9"/>
      <color theme="1"/>
      <name val="Century Gothic"/>
      <family val="2"/>
      <charset val="1"/>
    </font>
    <font>
      <sz val="9"/>
      <color theme="1"/>
      <name val="Century Gothic"/>
      <family val="2"/>
      <charset val="1"/>
    </font>
    <font>
      <b val="true"/>
      <sz val="10"/>
      <color theme="0"/>
      <name val="Century Gothic"/>
      <family val="1"/>
      <charset val="1"/>
    </font>
    <font>
      <b val="true"/>
      <sz val="10"/>
      <color theme="1"/>
      <name val="Century Gothic"/>
      <family val="2"/>
      <charset val="1"/>
    </font>
    <font>
      <sz val="14"/>
      <color theme="0"/>
      <name val="Century Gothic"/>
      <family val="2"/>
      <charset val="1"/>
    </font>
    <font>
      <b val="true"/>
      <sz val="12"/>
      <color theme="0"/>
      <name val="Century Gothic"/>
      <family val="1"/>
      <charset val="1"/>
    </font>
    <font>
      <b val="true"/>
      <sz val="12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0" tint="-0.05"/>
        <bgColor rgb="FFE2F0D9"/>
      </patternFill>
    </fill>
    <fill>
      <patternFill patternType="solid">
        <fgColor theme="9" tint="0.7999"/>
        <bgColor rgb="FFDEEBF7"/>
      </patternFill>
    </fill>
    <fill>
      <patternFill patternType="solid">
        <fgColor theme="8" tint="0.7999"/>
        <bgColor rgb="FFE2F0D9"/>
      </patternFill>
    </fill>
    <fill>
      <patternFill patternType="solid">
        <fgColor theme="9"/>
        <bgColor rgb="FF548235"/>
      </patternFill>
    </fill>
    <fill>
      <patternFill patternType="solid">
        <fgColor theme="1" tint="0.3499"/>
        <bgColor rgb="FF333F50"/>
      </patternFill>
    </fill>
    <fill>
      <patternFill patternType="solid">
        <fgColor theme="3" tint="-0.25"/>
        <bgColor rgb="FF333399"/>
      </patternFill>
    </fill>
    <fill>
      <patternFill patternType="solid">
        <fgColor theme="1" tint="0.4999"/>
        <bgColor rgb="FF8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/>
      <right/>
      <top/>
      <bottom style="thin">
        <color theme="0" tint="-0.2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9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7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2F2"/>
      <rgbColor rgb="FFDE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7F7F7F"/>
      <rgbColor rgb="FF003366"/>
      <rgbColor rgb="FF70AD47"/>
      <rgbColor rgb="FF003300"/>
      <rgbColor rgb="FF333300"/>
      <rgbColor rgb="FF993300"/>
      <rgbColor rgb="FF993366"/>
      <rgbColor rgb="FF333399"/>
      <rgbColor rgb="FF333F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DCE5"/>
    <pageSetUpPr fitToPage="true"/>
  </sheetPr>
  <dimension ref="B1:T110"/>
  <sheetViews>
    <sheetView showFormulas="false" showGridLines="fals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1" activeCellId="0" sqref="B1"/>
    </sheetView>
  </sheetViews>
  <sheetFormatPr defaultColWidth="10.703125" defaultRowHeight="12.75" zeroHeight="false" outlineLevelRow="0" outlineLevelCol="0"/>
  <cols>
    <col collapsed="false" customWidth="true" hidden="false" outlineLevel="0" max="1" min="1" style="1" width="3.2"/>
    <col collapsed="false" customWidth="true" hidden="false" outlineLevel="0" max="2" min="2" style="1" width="60"/>
    <col collapsed="false" customWidth="true" hidden="false" outlineLevel="0" max="3" min="3" style="1" width="20"/>
    <col collapsed="false" customWidth="true" hidden="false" outlineLevel="0" max="6" min="4" style="1" width="18.7"/>
    <col collapsed="false" customWidth="false" hidden="false" outlineLevel="0" max="20" min="7" style="1" width="10.7"/>
    <col collapsed="false" customWidth="true" hidden="false" outlineLevel="0" max="21" min="21" style="1" width="3.2"/>
    <col collapsed="false" customWidth="false" hidden="false" outlineLevel="0" max="16384" min="22" style="1" width="10.7"/>
  </cols>
  <sheetData>
    <row r="1" s="2" customFormat="true" ht="45" hidden="false" customHeight="true" outlineLevel="0" collapsed="false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customFormat="false" ht="26.25" hidden="false" customHeight="true" outlineLevel="0" collapsed="false">
      <c r="B2" s="4" t="s">
        <v>1</v>
      </c>
      <c r="C2" s="5" t="s">
        <v>2</v>
      </c>
      <c r="D2" s="6" t="s">
        <v>3</v>
      </c>
      <c r="E2" s="6"/>
      <c r="F2" s="6" t="s">
        <v>4</v>
      </c>
      <c r="G2" s="6"/>
      <c r="H2" s="6" t="s">
        <v>5</v>
      </c>
      <c r="I2" s="6"/>
      <c r="J2" s="6"/>
      <c r="K2" s="7"/>
      <c r="L2" s="7"/>
      <c r="M2" s="7"/>
      <c r="N2" s="7"/>
      <c r="O2" s="7"/>
      <c r="P2" s="7"/>
      <c r="Q2" s="7"/>
      <c r="R2" s="7"/>
      <c r="S2" s="7"/>
      <c r="T2" s="7"/>
    </row>
    <row r="3" customFormat="false" ht="49.5" hidden="false" customHeight="true" outlineLevel="0" collapsed="false">
      <c r="B3" s="8" t="s">
        <v>6</v>
      </c>
      <c r="C3" s="8" t="s">
        <v>7</v>
      </c>
      <c r="D3" s="9" t="n">
        <f aca="false">D35</f>
        <v>57</v>
      </c>
      <c r="E3" s="9"/>
      <c r="F3" s="9" t="n">
        <f aca="false">E35</f>
        <v>0</v>
      </c>
      <c r="G3" s="9"/>
      <c r="H3" s="9" t="n">
        <f aca="false">F35</f>
        <v>57</v>
      </c>
      <c r="I3" s="9"/>
      <c r="J3" s="9"/>
      <c r="K3" s="7"/>
      <c r="L3" s="7"/>
      <c r="M3" s="7"/>
      <c r="N3" s="7"/>
      <c r="O3" s="7"/>
      <c r="P3" s="7"/>
      <c r="Q3" s="7"/>
      <c r="R3" s="7"/>
      <c r="S3" s="7"/>
      <c r="T3" s="7"/>
    </row>
    <row r="4" customFormat="false" ht="49.5" hidden="false" customHeight="true" outlineLevel="0" collapsed="false">
      <c r="B4" s="10" t="s">
        <v>8</v>
      </c>
      <c r="C4" s="11" t="s">
        <v>9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customFormat="false" ht="12" hidden="false" customHeight="true" outlineLevel="0" collapsed="false">
      <c r="B5" s="12"/>
      <c r="C5" s="7"/>
      <c r="D5" s="13"/>
      <c r="E5" s="13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customFormat="false" ht="45" hidden="false" customHeight="true" outlineLevel="0" collapsed="false">
      <c r="B6" s="14" t="s">
        <v>10</v>
      </c>
      <c r="C6" s="7"/>
      <c r="D6" s="15"/>
      <c r="E6" s="15"/>
      <c r="F6" s="15"/>
      <c r="G6" s="16" t="s">
        <v>11</v>
      </c>
      <c r="H6" s="16" t="s">
        <v>7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 customFormat="false" ht="34.5" hidden="false" customHeight="true" outlineLevel="0" collapsed="false">
      <c r="B7" s="18" t="s">
        <v>12</v>
      </c>
      <c r="C7" s="18" t="s">
        <v>13</v>
      </c>
      <c r="D7" s="19" t="s">
        <v>14</v>
      </c>
      <c r="E7" s="19" t="s">
        <v>4</v>
      </c>
      <c r="F7" s="19" t="s">
        <v>15</v>
      </c>
      <c r="G7" s="20" t="s">
        <v>16</v>
      </c>
      <c r="H7" s="20" t="s">
        <v>17</v>
      </c>
      <c r="I7" s="20" t="s">
        <v>18</v>
      </c>
      <c r="J7" s="20" t="s">
        <v>19</v>
      </c>
      <c r="K7" s="20" t="s">
        <v>20</v>
      </c>
      <c r="L7" s="20" t="s">
        <v>21</v>
      </c>
      <c r="M7" s="20" t="s">
        <v>22</v>
      </c>
      <c r="N7" s="20" t="s">
        <v>23</v>
      </c>
      <c r="O7" s="20" t="s">
        <v>24</v>
      </c>
      <c r="P7" s="20" t="s">
        <v>25</v>
      </c>
      <c r="Q7" s="20" t="s">
        <v>26</v>
      </c>
      <c r="R7" s="20" t="s">
        <v>27</v>
      </c>
      <c r="S7" s="20" t="s">
        <v>28</v>
      </c>
      <c r="T7" s="20" t="s">
        <v>29</v>
      </c>
    </row>
    <row r="8" customFormat="false" ht="24.75" hidden="false" customHeight="true" outlineLevel="0" collapsed="false">
      <c r="B8" s="21" t="s">
        <v>30</v>
      </c>
      <c r="C8" s="21"/>
      <c r="D8" s="22" t="n">
        <f aca="false">SUM(D9:D13)</f>
        <v>13</v>
      </c>
      <c r="E8" s="22" t="n">
        <f aca="false">SUM(E9:E13)</f>
        <v>0</v>
      </c>
      <c r="F8" s="22" t="n">
        <f aca="false">D8-E8</f>
        <v>13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</row>
    <row r="9" customFormat="false" ht="24.75" hidden="false" customHeight="true" outlineLevel="0" collapsed="false">
      <c r="B9" s="23" t="s">
        <v>31</v>
      </c>
      <c r="C9" s="23" t="s">
        <v>32</v>
      </c>
      <c r="D9" s="22" t="n">
        <v>3</v>
      </c>
      <c r="E9" s="22" t="n">
        <f aca="false">SUM(G9:T9)</f>
        <v>0</v>
      </c>
      <c r="F9" s="22" t="n">
        <f aca="false">D9-E9</f>
        <v>3</v>
      </c>
      <c r="G9" s="23" t="n">
        <v>0</v>
      </c>
      <c r="H9" s="23" t="n">
        <v>0</v>
      </c>
      <c r="I9" s="23" t="n">
        <v>0</v>
      </c>
      <c r="J9" s="23" t="n">
        <v>0</v>
      </c>
      <c r="K9" s="23" t="n">
        <v>0</v>
      </c>
      <c r="L9" s="23" t="n">
        <v>0</v>
      </c>
      <c r="M9" s="23" t="n">
        <v>0</v>
      </c>
      <c r="N9" s="23" t="n">
        <v>0</v>
      </c>
      <c r="O9" s="23" t="n">
        <v>0</v>
      </c>
      <c r="P9" s="23" t="n">
        <v>0</v>
      </c>
      <c r="Q9" s="23" t="n">
        <v>0</v>
      </c>
      <c r="R9" s="23" t="n">
        <v>0</v>
      </c>
      <c r="S9" s="23" t="n">
        <v>0</v>
      </c>
      <c r="T9" s="23" t="n">
        <v>0</v>
      </c>
    </row>
    <row r="10" customFormat="false" ht="24.75" hidden="false" customHeight="true" outlineLevel="0" collapsed="false">
      <c r="B10" s="23" t="s">
        <v>33</v>
      </c>
      <c r="C10" s="23" t="s">
        <v>32</v>
      </c>
      <c r="D10" s="22" t="n">
        <v>2</v>
      </c>
      <c r="E10" s="22" t="n">
        <f aca="false">SUM(G10:T10)</f>
        <v>0</v>
      </c>
      <c r="F10" s="22" t="n">
        <f aca="false">D10-E10</f>
        <v>2</v>
      </c>
      <c r="G10" s="23" t="n">
        <v>0</v>
      </c>
      <c r="H10" s="23" t="n">
        <v>0</v>
      </c>
      <c r="I10" s="23" t="n">
        <v>0</v>
      </c>
      <c r="J10" s="23" t="n">
        <v>0</v>
      </c>
      <c r="K10" s="23" t="n">
        <v>0</v>
      </c>
      <c r="L10" s="23" t="n">
        <v>0</v>
      </c>
      <c r="M10" s="23" t="n">
        <v>0</v>
      </c>
      <c r="N10" s="23" t="n">
        <v>0</v>
      </c>
      <c r="O10" s="23" t="n">
        <v>0</v>
      </c>
      <c r="P10" s="23" t="n">
        <v>0</v>
      </c>
      <c r="Q10" s="23" t="n">
        <v>0</v>
      </c>
      <c r="R10" s="23" t="n">
        <v>0</v>
      </c>
      <c r="S10" s="23" t="n">
        <v>0</v>
      </c>
      <c r="T10" s="23" t="n">
        <v>0</v>
      </c>
    </row>
    <row r="11" customFormat="false" ht="24.75" hidden="false" customHeight="true" outlineLevel="0" collapsed="false">
      <c r="B11" s="23" t="s">
        <v>34</v>
      </c>
      <c r="C11" s="23" t="s">
        <v>35</v>
      </c>
      <c r="D11" s="22" t="n">
        <v>3</v>
      </c>
      <c r="E11" s="22" t="n">
        <f aca="false">SUM(G11:T11)</f>
        <v>0</v>
      </c>
      <c r="F11" s="22" t="n">
        <f aca="false">D11-E11</f>
        <v>3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  <c r="S11" s="23" t="n">
        <v>0</v>
      </c>
      <c r="T11" s="23" t="n">
        <v>0</v>
      </c>
    </row>
    <row r="12" customFormat="false" ht="24.75" hidden="false" customHeight="true" outlineLevel="0" collapsed="false">
      <c r="B12" s="23" t="s">
        <v>36</v>
      </c>
      <c r="C12" s="23" t="s">
        <v>35</v>
      </c>
      <c r="D12" s="22" t="n">
        <v>3</v>
      </c>
      <c r="E12" s="22" t="n">
        <f aca="false">SUM(G12:T12)</f>
        <v>0</v>
      </c>
      <c r="F12" s="22" t="n">
        <f aca="false">D12-E12</f>
        <v>3</v>
      </c>
      <c r="G12" s="23" t="n">
        <v>0</v>
      </c>
      <c r="H12" s="23" t="n">
        <v>0</v>
      </c>
      <c r="I12" s="23" t="n">
        <v>0</v>
      </c>
      <c r="J12" s="23" t="n">
        <v>0</v>
      </c>
      <c r="K12" s="23" t="n">
        <v>0</v>
      </c>
      <c r="L12" s="23" t="n">
        <v>0</v>
      </c>
      <c r="M12" s="23" t="n">
        <v>0</v>
      </c>
      <c r="N12" s="23" t="n">
        <v>0</v>
      </c>
      <c r="O12" s="23" t="n">
        <v>0</v>
      </c>
      <c r="P12" s="23" t="n">
        <v>0</v>
      </c>
      <c r="Q12" s="23" t="n">
        <v>0</v>
      </c>
      <c r="R12" s="23" t="n">
        <v>0</v>
      </c>
      <c r="S12" s="23" t="n">
        <v>0</v>
      </c>
      <c r="T12" s="23" t="n">
        <v>0</v>
      </c>
    </row>
    <row r="13" customFormat="false" ht="24.75" hidden="false" customHeight="true" outlineLevel="0" collapsed="false">
      <c r="B13" s="23" t="s">
        <v>37</v>
      </c>
      <c r="C13" s="23" t="s">
        <v>38</v>
      </c>
      <c r="D13" s="22" t="n">
        <v>2</v>
      </c>
      <c r="E13" s="22" t="n">
        <f aca="false">SUM(G13:T13)</f>
        <v>0</v>
      </c>
      <c r="F13" s="22" t="n">
        <f aca="false">D13-E13</f>
        <v>2</v>
      </c>
      <c r="G13" s="23" t="n">
        <v>0</v>
      </c>
      <c r="H13" s="23" t="n">
        <v>0</v>
      </c>
      <c r="I13" s="23" t="n">
        <v>0</v>
      </c>
      <c r="J13" s="23" t="n">
        <v>0</v>
      </c>
      <c r="K13" s="23" t="n">
        <v>0</v>
      </c>
      <c r="L13" s="23" t="n">
        <v>0</v>
      </c>
      <c r="M13" s="23" t="n">
        <v>0</v>
      </c>
      <c r="N13" s="23" t="n">
        <v>0</v>
      </c>
      <c r="O13" s="23" t="n">
        <v>0</v>
      </c>
      <c r="P13" s="23" t="n">
        <v>0</v>
      </c>
      <c r="Q13" s="23" t="n">
        <v>0</v>
      </c>
      <c r="R13" s="23" t="n">
        <v>0</v>
      </c>
      <c r="S13" s="23" t="n">
        <v>0</v>
      </c>
      <c r="T13" s="23" t="n">
        <v>0</v>
      </c>
    </row>
    <row r="14" customFormat="false" ht="24.75" hidden="false" customHeight="true" outlineLevel="0" collapsed="false">
      <c r="B14" s="21" t="s">
        <v>39</v>
      </c>
      <c r="C14" s="21"/>
      <c r="D14" s="22" t="n">
        <f aca="false">SUM(D15:D18)</f>
        <v>10</v>
      </c>
      <c r="E14" s="22" t="n">
        <f aca="false">SUM(E15:E18)</f>
        <v>0</v>
      </c>
      <c r="F14" s="22" t="n">
        <f aca="false">D14-E14</f>
        <v>10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customFormat="false" ht="34.5" hidden="false" customHeight="true" outlineLevel="0" collapsed="false">
      <c r="B15" s="23" t="s">
        <v>40</v>
      </c>
      <c r="C15" s="23" t="s">
        <v>32</v>
      </c>
      <c r="D15" s="22" t="n">
        <v>2</v>
      </c>
      <c r="E15" s="22" t="n">
        <f aca="false">SUM(G15:T15)</f>
        <v>0</v>
      </c>
      <c r="F15" s="22" t="n">
        <f aca="false">D15-E15</f>
        <v>2</v>
      </c>
      <c r="G15" s="23" t="n">
        <v>0</v>
      </c>
      <c r="H15" s="23" t="n">
        <v>0</v>
      </c>
      <c r="I15" s="23" t="n">
        <v>0</v>
      </c>
      <c r="J15" s="23" t="n">
        <v>0</v>
      </c>
      <c r="K15" s="23" t="n">
        <v>0</v>
      </c>
      <c r="L15" s="23" t="n">
        <v>0</v>
      </c>
      <c r="M15" s="23" t="n">
        <v>0</v>
      </c>
      <c r="N15" s="23" t="n">
        <v>0</v>
      </c>
      <c r="O15" s="23" t="n">
        <v>0</v>
      </c>
      <c r="P15" s="23" t="n">
        <v>0</v>
      </c>
      <c r="Q15" s="23" t="n">
        <v>0</v>
      </c>
      <c r="R15" s="23" t="n">
        <v>0</v>
      </c>
      <c r="S15" s="23" t="n">
        <v>0</v>
      </c>
      <c r="T15" s="23" t="n">
        <v>0</v>
      </c>
    </row>
    <row r="16" customFormat="false" ht="21" hidden="false" customHeight="true" outlineLevel="0" collapsed="false">
      <c r="B16" s="23" t="s">
        <v>41</v>
      </c>
      <c r="C16" s="23" t="s">
        <v>42</v>
      </c>
      <c r="D16" s="22" t="n">
        <v>3</v>
      </c>
      <c r="E16" s="22" t="n">
        <f aca="false">SUM(G16:T16)</f>
        <v>0</v>
      </c>
      <c r="F16" s="22" t="n">
        <f aca="false">D16-E16</f>
        <v>3</v>
      </c>
      <c r="G16" s="23" t="n">
        <v>0</v>
      </c>
      <c r="H16" s="23" t="n">
        <v>0</v>
      </c>
      <c r="I16" s="23" t="n">
        <v>0</v>
      </c>
      <c r="J16" s="23" t="n">
        <v>0</v>
      </c>
      <c r="K16" s="23" t="n">
        <v>0</v>
      </c>
      <c r="L16" s="23" t="n">
        <v>0</v>
      </c>
      <c r="M16" s="23" t="n">
        <v>0</v>
      </c>
      <c r="N16" s="23" t="n">
        <v>0</v>
      </c>
      <c r="O16" s="23" t="n">
        <v>0</v>
      </c>
      <c r="P16" s="23" t="n">
        <v>0</v>
      </c>
      <c r="Q16" s="23" t="n">
        <v>0</v>
      </c>
      <c r="R16" s="23" t="n">
        <v>0</v>
      </c>
      <c r="S16" s="23" t="n">
        <v>0</v>
      </c>
      <c r="T16" s="23" t="n">
        <v>0</v>
      </c>
    </row>
    <row r="17" customFormat="false" ht="23.85" hidden="false" customHeight="false" outlineLevel="0" collapsed="false">
      <c r="B17" s="23" t="s">
        <v>43</v>
      </c>
      <c r="C17" s="23" t="s">
        <v>38</v>
      </c>
      <c r="D17" s="22" t="n">
        <v>3</v>
      </c>
      <c r="E17" s="22" t="n">
        <f aca="false">SUM(G17:T17)</f>
        <v>0</v>
      </c>
      <c r="F17" s="22" t="n">
        <f aca="false">D17-E17</f>
        <v>3</v>
      </c>
      <c r="G17" s="23" t="n">
        <v>0</v>
      </c>
      <c r="H17" s="23" t="n">
        <v>0</v>
      </c>
      <c r="I17" s="23" t="n">
        <v>0</v>
      </c>
      <c r="J17" s="23" t="n">
        <v>0</v>
      </c>
      <c r="K17" s="23" t="n">
        <v>0</v>
      </c>
      <c r="L17" s="23" t="n">
        <v>0</v>
      </c>
      <c r="M17" s="23" t="n">
        <v>0</v>
      </c>
      <c r="N17" s="23" t="n">
        <v>0</v>
      </c>
      <c r="O17" s="23" t="n">
        <v>0</v>
      </c>
      <c r="P17" s="23" t="n">
        <v>0</v>
      </c>
      <c r="Q17" s="23" t="n">
        <v>0</v>
      </c>
      <c r="R17" s="23" t="n">
        <v>0</v>
      </c>
      <c r="S17" s="23" t="n">
        <v>0</v>
      </c>
      <c r="T17" s="23" t="n">
        <v>0</v>
      </c>
    </row>
    <row r="18" customFormat="false" ht="12.75" hidden="false" customHeight="false" outlineLevel="0" collapsed="false">
      <c r="B18" s="23" t="s">
        <v>44</v>
      </c>
      <c r="C18" s="23" t="s">
        <v>35</v>
      </c>
      <c r="D18" s="22" t="n">
        <v>2</v>
      </c>
      <c r="E18" s="22" t="n">
        <f aca="false">SUM(G18:T18)</f>
        <v>0</v>
      </c>
      <c r="F18" s="22" t="n">
        <f aca="false">D18-E18</f>
        <v>2</v>
      </c>
      <c r="G18" s="23" t="n">
        <v>0</v>
      </c>
      <c r="H18" s="23" t="n">
        <v>0</v>
      </c>
      <c r="I18" s="23" t="n">
        <v>0</v>
      </c>
      <c r="J18" s="23" t="n">
        <v>0</v>
      </c>
      <c r="K18" s="23" t="n">
        <v>0</v>
      </c>
      <c r="L18" s="23" t="n">
        <v>0</v>
      </c>
      <c r="M18" s="23" t="n">
        <v>0</v>
      </c>
      <c r="N18" s="23" t="n">
        <v>0</v>
      </c>
      <c r="O18" s="23" t="n">
        <v>0</v>
      </c>
      <c r="P18" s="23" t="n">
        <v>0</v>
      </c>
      <c r="Q18" s="23" t="n">
        <v>0</v>
      </c>
      <c r="R18" s="23" t="n">
        <v>0</v>
      </c>
      <c r="S18" s="23" t="n">
        <v>0</v>
      </c>
      <c r="T18" s="23" t="n">
        <v>0</v>
      </c>
    </row>
    <row r="19" customFormat="false" ht="12.75" hidden="false" customHeight="true" outlineLevel="0" collapsed="false">
      <c r="B19" s="21" t="s">
        <v>45</v>
      </c>
      <c r="C19" s="21"/>
      <c r="D19" s="22" t="n">
        <f aca="false">SUM(D20:D23)</f>
        <v>9</v>
      </c>
      <c r="E19" s="22" t="n">
        <f aca="false">SUM(E20:E23)</f>
        <v>0</v>
      </c>
      <c r="F19" s="22" t="n">
        <f aca="false">D19-E19</f>
        <v>9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</row>
    <row r="20" customFormat="false" ht="12.75" hidden="false" customHeight="false" outlineLevel="0" collapsed="false">
      <c r="B20" s="23" t="s">
        <v>46</v>
      </c>
      <c r="C20" s="23" t="s">
        <v>42</v>
      </c>
      <c r="D20" s="22" t="n">
        <v>2</v>
      </c>
      <c r="E20" s="22" t="n">
        <f aca="false">SUM(G20:T20)</f>
        <v>0</v>
      </c>
      <c r="F20" s="22" t="n">
        <f aca="false">D20-E20</f>
        <v>2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23" t="n">
        <v>0</v>
      </c>
      <c r="M20" s="23" t="n">
        <v>0</v>
      </c>
      <c r="N20" s="23" t="n">
        <v>0</v>
      </c>
      <c r="O20" s="23" t="n">
        <v>0</v>
      </c>
      <c r="P20" s="23" t="n">
        <v>0</v>
      </c>
      <c r="Q20" s="23" t="n">
        <v>0</v>
      </c>
      <c r="R20" s="23" t="n">
        <v>0</v>
      </c>
      <c r="S20" s="23" t="n">
        <v>0</v>
      </c>
      <c r="T20" s="23" t="n">
        <v>0</v>
      </c>
    </row>
    <row r="21" customFormat="false" ht="12.75" hidden="false" customHeight="false" outlineLevel="0" collapsed="false">
      <c r="B21" s="23" t="s">
        <v>47</v>
      </c>
      <c r="C21" s="23" t="s">
        <v>35</v>
      </c>
      <c r="D21" s="22" t="n">
        <v>3</v>
      </c>
      <c r="E21" s="22" t="n">
        <f aca="false">SUM(G21:T21)</f>
        <v>0</v>
      </c>
      <c r="F21" s="22" t="n">
        <f aca="false">D21-E21</f>
        <v>3</v>
      </c>
      <c r="G21" s="23" t="n">
        <v>0</v>
      </c>
      <c r="H21" s="23" t="n">
        <v>0</v>
      </c>
      <c r="I21" s="23" t="n">
        <v>0</v>
      </c>
      <c r="J21" s="23" t="n">
        <v>0</v>
      </c>
      <c r="K21" s="23" t="n">
        <v>0</v>
      </c>
      <c r="L21" s="23" t="n">
        <v>0</v>
      </c>
      <c r="M21" s="23" t="n">
        <v>0</v>
      </c>
      <c r="N21" s="23" t="n">
        <v>0</v>
      </c>
      <c r="O21" s="23" t="n">
        <v>0</v>
      </c>
      <c r="P21" s="23" t="n">
        <v>0</v>
      </c>
      <c r="Q21" s="23" t="n">
        <v>0</v>
      </c>
      <c r="R21" s="23" t="n">
        <v>0</v>
      </c>
      <c r="S21" s="23" t="n">
        <v>0</v>
      </c>
      <c r="T21" s="23" t="n">
        <v>0</v>
      </c>
    </row>
    <row r="22" customFormat="false" ht="12.75" hidden="false" customHeight="false" outlineLevel="0" collapsed="false">
      <c r="B22" s="23" t="s">
        <v>48</v>
      </c>
      <c r="C22" s="23" t="s">
        <v>42</v>
      </c>
      <c r="D22" s="22" t="n">
        <v>2</v>
      </c>
      <c r="E22" s="22" t="n">
        <f aca="false">SUM(G22:T22)</f>
        <v>0</v>
      </c>
      <c r="F22" s="22" t="n">
        <f aca="false">D22-E22</f>
        <v>2</v>
      </c>
      <c r="G22" s="23" t="n">
        <v>0</v>
      </c>
      <c r="H22" s="23" t="n">
        <v>0</v>
      </c>
      <c r="I22" s="23" t="n">
        <v>0</v>
      </c>
      <c r="J22" s="23" t="n">
        <v>0</v>
      </c>
      <c r="K22" s="23" t="n">
        <v>0</v>
      </c>
      <c r="L22" s="23" t="n">
        <v>0</v>
      </c>
      <c r="M22" s="23" t="n">
        <v>0</v>
      </c>
      <c r="N22" s="23" t="n">
        <v>0</v>
      </c>
      <c r="O22" s="23" t="n">
        <v>0</v>
      </c>
      <c r="P22" s="23" t="n">
        <v>0</v>
      </c>
      <c r="Q22" s="23" t="n">
        <v>0</v>
      </c>
      <c r="R22" s="23" t="n">
        <v>0</v>
      </c>
      <c r="S22" s="23" t="n">
        <v>0</v>
      </c>
      <c r="T22" s="23" t="n">
        <v>0</v>
      </c>
    </row>
    <row r="23" customFormat="false" ht="12.75" hidden="false" customHeight="false" outlineLevel="0" collapsed="false">
      <c r="B23" s="23" t="s">
        <v>49</v>
      </c>
      <c r="C23" s="23" t="s">
        <v>38</v>
      </c>
      <c r="D23" s="22" t="n">
        <v>2</v>
      </c>
      <c r="E23" s="22" t="n">
        <f aca="false">SUM(G23:T23)</f>
        <v>0</v>
      </c>
      <c r="F23" s="22" t="n">
        <f aca="false">D23-E23</f>
        <v>2</v>
      </c>
      <c r="G23" s="23" t="n">
        <v>0</v>
      </c>
      <c r="H23" s="23" t="n">
        <v>0</v>
      </c>
      <c r="I23" s="23" t="n">
        <v>0</v>
      </c>
      <c r="J23" s="23" t="n">
        <v>0</v>
      </c>
      <c r="K23" s="23" t="n">
        <v>0</v>
      </c>
      <c r="L23" s="23" t="n">
        <v>0</v>
      </c>
      <c r="M23" s="23" t="n">
        <v>0</v>
      </c>
      <c r="N23" s="23" t="n">
        <v>0</v>
      </c>
      <c r="O23" s="23" t="n">
        <v>0</v>
      </c>
      <c r="P23" s="23" t="n">
        <v>0</v>
      </c>
      <c r="Q23" s="23" t="n">
        <v>0</v>
      </c>
      <c r="R23" s="23" t="n">
        <v>0</v>
      </c>
      <c r="S23" s="23" t="n">
        <v>0</v>
      </c>
      <c r="T23" s="23" t="n">
        <v>0</v>
      </c>
    </row>
    <row r="24" customFormat="false" ht="12.75" hidden="false" customHeight="true" outlineLevel="0" collapsed="false">
      <c r="B24" s="21" t="s">
        <v>50</v>
      </c>
      <c r="C24" s="21"/>
      <c r="D24" s="22" t="n">
        <f aca="false">SUM(D25:D29)</f>
        <v>15</v>
      </c>
      <c r="E24" s="22" t="n">
        <f aca="false">SUM(E25:E29)</f>
        <v>0</v>
      </c>
      <c r="F24" s="22" t="n">
        <f aca="false">D24-E24</f>
        <v>15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 customFormat="false" ht="23.85" hidden="false" customHeight="false" outlineLevel="0" collapsed="false">
      <c r="B25" s="23" t="s">
        <v>51</v>
      </c>
      <c r="C25" s="23" t="s">
        <v>32</v>
      </c>
      <c r="D25" s="22" t="n">
        <v>2</v>
      </c>
      <c r="E25" s="22" t="n">
        <f aca="false">SUM(G25:T25)</f>
        <v>0</v>
      </c>
      <c r="F25" s="22" t="n">
        <f aca="false">D25-E25</f>
        <v>2</v>
      </c>
      <c r="G25" s="23" t="n">
        <v>0</v>
      </c>
      <c r="H25" s="23" t="n">
        <v>0</v>
      </c>
      <c r="I25" s="23" t="n">
        <v>0</v>
      </c>
      <c r="J25" s="23" t="n">
        <v>0</v>
      </c>
      <c r="K25" s="23" t="n">
        <v>0</v>
      </c>
      <c r="L25" s="23" t="n">
        <v>0</v>
      </c>
      <c r="M25" s="23" t="n">
        <v>0</v>
      </c>
      <c r="N25" s="23" t="n">
        <v>0</v>
      </c>
      <c r="O25" s="23" t="n">
        <v>0</v>
      </c>
      <c r="P25" s="23" t="n">
        <v>0</v>
      </c>
      <c r="Q25" s="23" t="n">
        <v>0</v>
      </c>
      <c r="R25" s="23" t="n">
        <v>0</v>
      </c>
      <c r="S25" s="23" t="n">
        <v>0</v>
      </c>
      <c r="T25" s="23" t="n">
        <v>0</v>
      </c>
    </row>
    <row r="26" customFormat="false" ht="12.75" hidden="false" customHeight="false" outlineLevel="0" collapsed="false">
      <c r="B26" s="23" t="s">
        <v>52</v>
      </c>
      <c r="C26" s="23" t="s">
        <v>42</v>
      </c>
      <c r="D26" s="22" t="n">
        <v>4</v>
      </c>
      <c r="E26" s="22" t="n">
        <f aca="false">SUM(G26:T26)</f>
        <v>0</v>
      </c>
      <c r="F26" s="22" t="n">
        <f aca="false">D26-E26</f>
        <v>4</v>
      </c>
      <c r="G26" s="23" t="n">
        <v>0</v>
      </c>
      <c r="H26" s="23" t="n">
        <v>0</v>
      </c>
      <c r="I26" s="23" t="n">
        <v>0</v>
      </c>
      <c r="J26" s="23" t="n">
        <v>0</v>
      </c>
      <c r="K26" s="23" t="n">
        <v>0</v>
      </c>
      <c r="L26" s="23" t="n">
        <v>0</v>
      </c>
      <c r="M26" s="23" t="n">
        <v>0</v>
      </c>
      <c r="N26" s="23" t="n">
        <v>0</v>
      </c>
      <c r="O26" s="23" t="n">
        <v>0</v>
      </c>
      <c r="P26" s="23" t="n">
        <v>0</v>
      </c>
      <c r="Q26" s="23" t="n">
        <v>0</v>
      </c>
      <c r="R26" s="23" t="n">
        <v>0</v>
      </c>
      <c r="S26" s="23" t="n">
        <v>0</v>
      </c>
      <c r="T26" s="23" t="n">
        <v>0</v>
      </c>
    </row>
    <row r="27" customFormat="false" ht="12.75" hidden="false" customHeight="false" outlineLevel="0" collapsed="false">
      <c r="B27" s="23" t="s">
        <v>53</v>
      </c>
      <c r="C27" s="23" t="s">
        <v>38</v>
      </c>
      <c r="D27" s="22" t="n">
        <v>3</v>
      </c>
      <c r="E27" s="22" t="n">
        <f aca="false">SUM(G27:T27)</f>
        <v>0</v>
      </c>
      <c r="F27" s="22" t="n">
        <f aca="false">D27-E27</f>
        <v>3</v>
      </c>
      <c r="G27" s="23" t="n">
        <v>0</v>
      </c>
      <c r="H27" s="23" t="n">
        <v>0</v>
      </c>
      <c r="I27" s="23" t="n">
        <v>0</v>
      </c>
      <c r="J27" s="23" t="n">
        <v>0</v>
      </c>
      <c r="K27" s="23" t="n">
        <v>0</v>
      </c>
      <c r="L27" s="23" t="n">
        <v>0</v>
      </c>
      <c r="M27" s="23" t="n">
        <v>0</v>
      </c>
      <c r="N27" s="23" t="n">
        <v>0</v>
      </c>
      <c r="O27" s="23" t="n">
        <v>0</v>
      </c>
      <c r="P27" s="23" t="n">
        <v>0</v>
      </c>
      <c r="Q27" s="23" t="n">
        <v>0</v>
      </c>
      <c r="R27" s="23" t="n">
        <v>0</v>
      </c>
      <c r="S27" s="23" t="n">
        <v>0</v>
      </c>
      <c r="T27" s="23" t="n">
        <v>0</v>
      </c>
    </row>
    <row r="28" customFormat="false" ht="23.85" hidden="false" customHeight="false" outlineLevel="0" collapsed="false">
      <c r="B28" s="23" t="s">
        <v>54</v>
      </c>
      <c r="C28" s="23" t="s">
        <v>38</v>
      </c>
      <c r="D28" s="22" t="n">
        <v>3</v>
      </c>
      <c r="E28" s="22" t="n">
        <f aca="false">SUM(G28:T28)</f>
        <v>0</v>
      </c>
      <c r="F28" s="22" t="n">
        <f aca="false">D28-E28</f>
        <v>3</v>
      </c>
      <c r="G28" s="23" t="n">
        <v>0</v>
      </c>
      <c r="H28" s="23" t="n">
        <v>0</v>
      </c>
      <c r="I28" s="23" t="n">
        <v>0</v>
      </c>
      <c r="J28" s="23" t="n">
        <v>0</v>
      </c>
      <c r="K28" s="23" t="n">
        <v>0</v>
      </c>
      <c r="L28" s="23" t="n">
        <v>0</v>
      </c>
      <c r="M28" s="23" t="n">
        <v>0</v>
      </c>
      <c r="N28" s="23" t="n">
        <v>0</v>
      </c>
      <c r="O28" s="23" t="n">
        <v>0</v>
      </c>
      <c r="P28" s="23" t="n">
        <v>0</v>
      </c>
      <c r="Q28" s="23" t="n">
        <v>0</v>
      </c>
      <c r="R28" s="23" t="n">
        <v>0</v>
      </c>
      <c r="S28" s="23" t="n">
        <v>0</v>
      </c>
      <c r="T28" s="23" t="n">
        <v>0</v>
      </c>
    </row>
    <row r="29" customFormat="false" ht="12.75" hidden="false" customHeight="false" outlineLevel="0" collapsed="false">
      <c r="B29" s="23" t="s">
        <v>55</v>
      </c>
      <c r="C29" s="23" t="s">
        <v>35</v>
      </c>
      <c r="D29" s="22" t="n">
        <v>3</v>
      </c>
      <c r="E29" s="22" t="n">
        <f aca="false">SUM(G29:T29)</f>
        <v>0</v>
      </c>
      <c r="F29" s="22" t="n">
        <f aca="false">D29-E29</f>
        <v>3</v>
      </c>
      <c r="G29" s="23" t="n">
        <v>0</v>
      </c>
      <c r="H29" s="23" t="n">
        <v>0</v>
      </c>
      <c r="I29" s="23" t="n">
        <v>0</v>
      </c>
      <c r="J29" s="23" t="n">
        <v>0</v>
      </c>
      <c r="K29" s="23" t="n">
        <v>0</v>
      </c>
      <c r="L29" s="23" t="n">
        <v>0</v>
      </c>
      <c r="M29" s="23" t="n">
        <v>0</v>
      </c>
      <c r="N29" s="23" t="n">
        <v>0</v>
      </c>
      <c r="O29" s="23" t="n">
        <v>0</v>
      </c>
      <c r="P29" s="23" t="n">
        <v>0</v>
      </c>
      <c r="Q29" s="23" t="n">
        <v>0</v>
      </c>
      <c r="R29" s="23" t="n">
        <v>0</v>
      </c>
      <c r="S29" s="23" t="n">
        <v>0</v>
      </c>
      <c r="T29" s="23" t="n">
        <v>0</v>
      </c>
    </row>
    <row r="30" customFormat="false" ht="12.75" hidden="false" customHeight="true" outlineLevel="0" collapsed="false">
      <c r="B30" s="21" t="s">
        <v>56</v>
      </c>
      <c r="C30" s="21"/>
      <c r="D30" s="22" t="n">
        <f aca="false">SUM(D31:D34)</f>
        <v>10</v>
      </c>
      <c r="E30" s="22" t="n">
        <f aca="false">SUM(E31:E34)</f>
        <v>0</v>
      </c>
      <c r="F30" s="22" t="n">
        <f aca="false">D30-E30</f>
        <v>10</v>
      </c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 customFormat="false" ht="12.75" hidden="false" customHeight="false" outlineLevel="0" collapsed="false">
      <c r="B31" s="23" t="s">
        <v>57</v>
      </c>
      <c r="C31" s="23" t="s">
        <v>42</v>
      </c>
      <c r="D31" s="22" t="n">
        <v>4</v>
      </c>
      <c r="E31" s="22" t="n">
        <f aca="false">SUM(G31:T31)</f>
        <v>0</v>
      </c>
      <c r="F31" s="22" t="n">
        <f aca="false">D31-E31</f>
        <v>4</v>
      </c>
      <c r="G31" s="23" t="n">
        <v>0</v>
      </c>
      <c r="H31" s="23" t="n">
        <v>0</v>
      </c>
      <c r="I31" s="23" t="n">
        <v>0</v>
      </c>
      <c r="J31" s="23" t="n">
        <v>0</v>
      </c>
      <c r="K31" s="23" t="n">
        <v>0</v>
      </c>
      <c r="L31" s="23" t="n">
        <v>0</v>
      </c>
      <c r="M31" s="23" t="n">
        <v>0</v>
      </c>
      <c r="N31" s="23" t="n">
        <v>0</v>
      </c>
      <c r="O31" s="23" t="n">
        <v>0</v>
      </c>
      <c r="P31" s="23" t="n">
        <v>0</v>
      </c>
      <c r="Q31" s="23" t="n">
        <v>0</v>
      </c>
      <c r="R31" s="23" t="n">
        <v>0</v>
      </c>
      <c r="S31" s="23" t="n">
        <v>0</v>
      </c>
      <c r="T31" s="23" t="n">
        <v>0</v>
      </c>
    </row>
    <row r="32" customFormat="false" ht="12.75" hidden="false" customHeight="false" outlineLevel="0" collapsed="false">
      <c r="B32" s="23" t="s">
        <v>58</v>
      </c>
      <c r="C32" s="23" t="s">
        <v>32</v>
      </c>
      <c r="D32" s="22" t="n">
        <v>3</v>
      </c>
      <c r="E32" s="22" t="n">
        <f aca="false">SUM(G32:T32)</f>
        <v>0</v>
      </c>
      <c r="F32" s="22" t="n">
        <f aca="false">D32-E32</f>
        <v>3</v>
      </c>
      <c r="G32" s="23" t="n">
        <v>0</v>
      </c>
      <c r="H32" s="23" t="n">
        <v>0</v>
      </c>
      <c r="I32" s="23" t="n">
        <v>0</v>
      </c>
      <c r="J32" s="23" t="n">
        <v>0</v>
      </c>
      <c r="K32" s="23" t="n">
        <v>0</v>
      </c>
      <c r="L32" s="23" t="n">
        <v>0</v>
      </c>
      <c r="M32" s="23" t="n">
        <v>0</v>
      </c>
      <c r="N32" s="23" t="n">
        <v>0</v>
      </c>
      <c r="O32" s="23" t="n">
        <v>0</v>
      </c>
      <c r="P32" s="23" t="n">
        <v>0</v>
      </c>
      <c r="Q32" s="23" t="n">
        <v>0</v>
      </c>
      <c r="R32" s="23" t="n">
        <v>0</v>
      </c>
      <c r="S32" s="23" t="n">
        <v>0</v>
      </c>
      <c r="T32" s="23" t="n">
        <v>0</v>
      </c>
    </row>
    <row r="33" customFormat="false" ht="12.75" hidden="false" customHeight="false" outlineLevel="0" collapsed="false">
      <c r="B33" s="23" t="s">
        <v>59</v>
      </c>
      <c r="C33" s="23" t="s">
        <v>42</v>
      </c>
      <c r="D33" s="22" t="n">
        <v>1</v>
      </c>
      <c r="E33" s="22" t="n">
        <f aca="false">SUM(G33:T33)</f>
        <v>0</v>
      </c>
      <c r="F33" s="22" t="n">
        <f aca="false">D33-E33</f>
        <v>1</v>
      </c>
      <c r="G33" s="23" t="n">
        <v>0</v>
      </c>
      <c r="H33" s="23" t="n">
        <v>0</v>
      </c>
      <c r="I33" s="23" t="n">
        <v>0</v>
      </c>
      <c r="J33" s="23" t="n">
        <v>0</v>
      </c>
      <c r="K33" s="23" t="n">
        <v>0</v>
      </c>
      <c r="L33" s="23" t="n">
        <v>0</v>
      </c>
      <c r="M33" s="23" t="n">
        <v>0</v>
      </c>
      <c r="N33" s="23" t="n">
        <v>0</v>
      </c>
      <c r="O33" s="23" t="n">
        <v>0</v>
      </c>
      <c r="P33" s="23" t="n">
        <v>0</v>
      </c>
      <c r="Q33" s="23" t="n">
        <v>0</v>
      </c>
      <c r="R33" s="23" t="n">
        <v>0</v>
      </c>
      <c r="S33" s="23" t="n">
        <v>0</v>
      </c>
      <c r="T33" s="23" t="n">
        <v>0</v>
      </c>
    </row>
    <row r="34" customFormat="false" ht="12.75" hidden="false" customHeight="false" outlineLevel="0" collapsed="false">
      <c r="B34" s="23" t="s">
        <v>60</v>
      </c>
      <c r="C34" s="23" t="s">
        <v>38</v>
      </c>
      <c r="D34" s="22" t="n">
        <v>2</v>
      </c>
      <c r="E34" s="22" t="n">
        <f aca="false">SUM(G34:T34)</f>
        <v>0</v>
      </c>
      <c r="F34" s="22" t="n">
        <f aca="false">D34-E34</f>
        <v>2</v>
      </c>
      <c r="G34" s="23" t="n">
        <v>0</v>
      </c>
      <c r="H34" s="23" t="n">
        <v>0</v>
      </c>
      <c r="I34" s="23" t="n">
        <v>0</v>
      </c>
      <c r="J34" s="23" t="n">
        <v>0</v>
      </c>
      <c r="K34" s="23" t="n">
        <v>0</v>
      </c>
      <c r="L34" s="23" t="n">
        <v>0</v>
      </c>
      <c r="M34" s="23" t="n">
        <v>0</v>
      </c>
      <c r="N34" s="23" t="n">
        <v>0</v>
      </c>
      <c r="O34" s="23" t="n">
        <v>0</v>
      </c>
      <c r="P34" s="23" t="n">
        <v>0</v>
      </c>
      <c r="Q34" s="23" t="n">
        <v>0</v>
      </c>
      <c r="R34" s="23" t="n">
        <v>0</v>
      </c>
      <c r="S34" s="23" t="n">
        <v>0</v>
      </c>
      <c r="T34" s="23" t="n">
        <v>0</v>
      </c>
    </row>
    <row r="35" customFormat="false" ht="17.9" hidden="false" customHeight="true" outlineLevel="0" collapsed="false">
      <c r="B35" s="24" t="s">
        <v>61</v>
      </c>
      <c r="C35" s="24"/>
      <c r="D35" s="25" t="n">
        <f aca="false">D8+D14+D19+D24+D30</f>
        <v>57</v>
      </c>
      <c r="E35" s="25" t="n">
        <f aca="false">E8+E14+E19+E24+E30</f>
        <v>0</v>
      </c>
      <c r="F35" s="25" t="n">
        <f aca="false">F8+F14+F19+F24+F30</f>
        <v>57</v>
      </c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</row>
    <row r="36" customFormat="false" ht="12.75" hidden="false" customHeight="false" outlineLevel="0" collapsed="false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</row>
    <row r="37" customFormat="false" ht="15" hidden="false" customHeight="false" outlineLevel="0" collapsed="false">
      <c r="B37" s="28" t="s">
        <v>62</v>
      </c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</row>
    <row r="38" customFormat="false" ht="12.75" hidden="false" customHeight="false" outlineLevel="0" collapsed="false">
      <c r="B38" s="27" t="s">
        <v>63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</row>
    <row r="39" customFormat="false" ht="12.75" hidden="false" customHeight="false" outlineLevel="0" collapsed="false">
      <c r="B39" s="27" t="s">
        <v>64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</row>
    <row r="40" customFormat="false" ht="12.75" hidden="false" customHeight="false" outlineLevel="0" collapsed="false">
      <c r="B40" s="27" t="s">
        <v>65</v>
      </c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</row>
    <row r="41" customFormat="false" ht="12.75" hidden="false" customHeight="false" outlineLevel="0" collapsed="false">
      <c r="B41" s="27" t="s">
        <v>66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</row>
    <row r="42" customFormat="false" ht="12.75" hidden="false" customHeight="false" outlineLevel="0" collapsed="false">
      <c r="B42" s="27" t="s">
        <v>67</v>
      </c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</row>
    <row r="43" customFormat="false" ht="12.75" hidden="false" customHeight="false" outlineLevel="0" collapsed="false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</row>
    <row r="44" customFormat="false" ht="12.75" hidden="false" customHeight="false" outlineLevel="0" collapsed="false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</row>
    <row r="45" customFormat="false" ht="12.75" hidden="false" customHeight="false" outlineLevel="0" collapsed="false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</row>
    <row r="46" customFormat="false" ht="12.75" hidden="false" customHeight="false" outlineLevel="0" collapsed="false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</row>
    <row r="47" customFormat="false" ht="12.75" hidden="false" customHeight="false" outlineLevel="0" collapsed="false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</row>
    <row r="48" customFormat="false" ht="12.75" hidden="false" customHeight="false" outlineLevel="0" collapsed="false"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</row>
    <row r="49" customFormat="false" ht="12.75" hidden="false" customHeight="false" outlineLevel="0" collapsed="false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</row>
    <row r="50" customFormat="false" ht="12.75" hidden="false" customHeight="false" outlineLevel="0" collapsed="false"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</row>
    <row r="51" customFormat="false" ht="12.75" hidden="false" customHeight="false" outlineLevel="0" collapsed="false"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</row>
    <row r="52" customFormat="false" ht="12.75" hidden="false" customHeight="false" outlineLevel="0" collapsed="false"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</row>
    <row r="53" customFormat="false" ht="12.75" hidden="false" customHeight="false" outlineLevel="0" collapsed="false"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</row>
    <row r="54" customFormat="false" ht="12.75" hidden="false" customHeight="false" outlineLevel="0" collapsed="false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</row>
    <row r="55" customFormat="false" ht="12.75" hidden="false" customHeight="false" outlineLevel="0" collapsed="false"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</row>
    <row r="56" customFormat="false" ht="12.75" hidden="false" customHeight="false" outlineLevel="0" collapsed="false"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</row>
    <row r="57" customFormat="false" ht="12.75" hidden="false" customHeight="false" outlineLevel="0" collapsed="false"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</row>
    <row r="58" customFormat="false" ht="12.75" hidden="false" customHeight="false" outlineLevel="0" collapsed="false"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</row>
    <row r="59" customFormat="false" ht="12.75" hidden="false" customHeight="false" outlineLevel="0" collapsed="false"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</row>
    <row r="60" customFormat="false" ht="12.75" hidden="false" customHeight="false" outlineLevel="0" collapsed="false"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</row>
    <row r="61" customFormat="false" ht="12.75" hidden="false" customHeight="false" outlineLevel="0" collapsed="false"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</row>
    <row r="62" customFormat="false" ht="12.75" hidden="false" customHeight="false" outlineLevel="0" collapsed="false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</row>
    <row r="63" customFormat="false" ht="12.75" hidden="false" customHeight="false" outlineLevel="0" collapsed="false"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</row>
    <row r="64" customFormat="false" ht="12.75" hidden="false" customHeight="false" outlineLevel="0" collapsed="false"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</row>
    <row r="65" customFormat="false" ht="12.75" hidden="false" customHeight="false" outlineLevel="0" collapsed="false"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</row>
    <row r="66" customFormat="false" ht="12.75" hidden="false" customHeight="false" outlineLevel="0" collapsed="false"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</row>
    <row r="67" customFormat="false" ht="12.75" hidden="false" customHeight="false" outlineLevel="0" collapsed="false"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</row>
    <row r="68" customFormat="false" ht="12.75" hidden="false" customHeight="false" outlineLevel="0" collapsed="false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</row>
    <row r="69" customFormat="false" ht="12.75" hidden="false" customHeight="false" outlineLevel="0" collapsed="false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 customFormat="false" ht="12.75" hidden="false" customHeight="false" outlineLevel="0" collapsed="false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 customFormat="false" ht="12.75" hidden="false" customHeight="false" outlineLevel="0" collapsed="false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 customFormat="false" ht="12.75" hidden="false" customHeight="false" outlineLevel="0" collapsed="false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 customFormat="false" ht="12.75" hidden="false" customHeight="false" outlineLevel="0" collapsed="false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 customFormat="false" ht="12.75" hidden="false" customHeight="false" outlineLevel="0" collapsed="false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 customFormat="false" ht="12.75" hidden="false" customHeight="false" outlineLevel="0" collapsed="false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</row>
    <row r="76" customFormat="false" ht="12.75" hidden="false" customHeight="false" outlineLevel="0" collapsed="false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 customFormat="false" ht="12.75" hidden="false" customHeight="false" outlineLevel="0" collapsed="false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</row>
    <row r="78" customFormat="false" ht="12.75" hidden="false" customHeight="false" outlineLevel="0" collapsed="false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</row>
    <row r="79" customFormat="false" ht="12.75" hidden="false" customHeight="false" outlineLevel="0" collapsed="false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 customFormat="false" ht="12.75" hidden="false" customHeight="false" outlineLevel="0" collapsed="false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</row>
    <row r="81" customFormat="false" ht="12.75" hidden="false" customHeight="false" outlineLevel="0" collapsed="false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</row>
    <row r="82" customFormat="false" ht="12.75" hidden="false" customHeight="false" outlineLevel="0" collapsed="false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</row>
    <row r="83" customFormat="false" ht="12.75" hidden="false" customHeight="false" outlineLevel="0" collapsed="false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</row>
    <row r="84" customFormat="false" ht="12.75" hidden="false" customHeight="false" outlineLevel="0" collapsed="false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</row>
    <row r="85" customFormat="false" ht="12.75" hidden="false" customHeight="false" outlineLevel="0" collapsed="false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</row>
    <row r="86" customFormat="false" ht="12.75" hidden="false" customHeight="false" outlineLevel="0" collapsed="false"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</row>
    <row r="87" customFormat="false" ht="12.75" hidden="false" customHeight="false" outlineLevel="0" collapsed="false"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</row>
    <row r="88" customFormat="false" ht="12.75" hidden="false" customHeight="false" outlineLevel="0" collapsed="false"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</row>
    <row r="89" customFormat="false" ht="12.75" hidden="false" customHeight="false" outlineLevel="0" collapsed="false"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</row>
    <row r="90" customFormat="false" ht="12.75" hidden="false" customHeight="false" outlineLevel="0" collapsed="false"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</row>
    <row r="91" customFormat="false" ht="12.75" hidden="false" customHeight="false" outlineLevel="0" collapsed="false"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</row>
    <row r="92" customFormat="false" ht="12.75" hidden="false" customHeight="false" outlineLevel="0" collapsed="false"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</row>
    <row r="93" customFormat="false" ht="12.75" hidden="false" customHeight="false" outlineLevel="0" collapsed="false"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</row>
    <row r="94" customFormat="false" ht="12.75" hidden="false" customHeight="false" outlineLevel="0" collapsed="false"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</row>
    <row r="95" customFormat="false" ht="12.75" hidden="false" customHeight="false" outlineLevel="0" collapsed="false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</row>
    <row r="96" customFormat="false" ht="12.75" hidden="false" customHeight="false" outlineLevel="0" collapsed="false"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</row>
    <row r="97" customFormat="false" ht="12.75" hidden="false" customHeight="false" outlineLevel="0" collapsed="false"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</row>
    <row r="98" customFormat="false" ht="12.75" hidden="false" customHeight="false" outlineLevel="0" collapsed="false"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</row>
    <row r="99" customFormat="false" ht="12.75" hidden="false" customHeight="false" outlineLevel="0" collapsed="false"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</row>
    <row r="100" customFormat="false" ht="12.75" hidden="false" customHeight="false" outlineLevel="0" collapsed="false"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</row>
    <row r="101" customFormat="false" ht="12.75" hidden="false" customHeight="false" outlineLevel="0" collapsed="false"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</row>
    <row r="102" customFormat="false" ht="12.75" hidden="false" customHeight="false" outlineLevel="0" collapsed="false"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</row>
    <row r="103" customFormat="false" ht="12.75" hidden="false" customHeight="false" outlineLevel="0" collapsed="false"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</row>
    <row r="104" customFormat="false" ht="12.75" hidden="false" customHeight="false" outlineLevel="0" collapsed="false"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</row>
    <row r="105" customFormat="false" ht="12.75" hidden="false" customHeight="false" outlineLevel="0" collapsed="false"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</row>
    <row r="106" customFormat="false" ht="12.75" hidden="false" customHeight="false" outlineLevel="0" collapsed="false"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</row>
    <row r="107" customFormat="false" ht="12.75" hidden="false" customHeight="false" outlineLevel="0" collapsed="false"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</row>
    <row r="108" customFormat="false" ht="12.75" hidden="false" customHeight="false" outlineLevel="0" collapsed="false"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</row>
    <row r="109" customFormat="false" ht="12.75" hidden="false" customHeight="false" outlineLevel="0" collapsed="false"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</row>
    <row r="110" customFormat="false" ht="12.75" hidden="false" customHeight="false" outlineLevel="0" collapsed="false"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</row>
  </sheetData>
  <mergeCells count="14">
    <mergeCell ref="B1:T1"/>
    <mergeCell ref="D2:E2"/>
    <mergeCell ref="F2:G2"/>
    <mergeCell ref="H2:J2"/>
    <mergeCell ref="D3:E3"/>
    <mergeCell ref="F3:G3"/>
    <mergeCell ref="H3:J3"/>
    <mergeCell ref="D6:F6"/>
    <mergeCell ref="B8:C8"/>
    <mergeCell ref="B14:C14"/>
    <mergeCell ref="B19:C19"/>
    <mergeCell ref="B24:C24"/>
    <mergeCell ref="B30:C30"/>
    <mergeCell ref="B35:C35"/>
  </mergeCells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2016-02-12T20:53:16Z</dcterms:created>
  <dc:creator>ragaz</dc:creator>
  <dc:description/>
  <dc:language>en-US</dc:language>
  <cp:lastModifiedBy>Mai i</cp:lastModifiedBy>
  <cp:lastPrinted>2022-09-05T00:55:14Z</cp:lastPrinted>
  <dcterms:modified xsi:type="dcterms:W3CDTF">2026-10-06T19:29:59Z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